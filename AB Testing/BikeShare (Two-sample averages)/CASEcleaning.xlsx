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gomez/Desktop/"/>
    </mc:Choice>
  </mc:AlternateContent>
  <xr:revisionPtr revIDLastSave="0" documentId="13_ncr:1_{8AC816FC-9F73-5042-A317-A6C67810B6A2}" xr6:coauthVersionLast="47" xr6:coauthVersionMax="47" xr10:uidLastSave="{00000000-0000-0000-0000-000000000000}"/>
  <bookViews>
    <workbookView xWindow="9140" yWindow="1660" windowWidth="28040" windowHeight="17180" xr2:uid="{6306961C-BE59-4743-B136-A4A87EDB3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E1" i="1"/>
  <c r="A3" i="1"/>
  <c r="G3" i="1" s="1"/>
  <c r="A2" i="1"/>
  <c r="G2" i="1" s="1"/>
  <c r="A1" i="1"/>
  <c r="G1" i="1" s="1"/>
  <c r="A8" i="1"/>
  <c r="G8" i="1" s="1"/>
  <c r="A6" i="1"/>
  <c r="G6" i="1" s="1"/>
  <c r="A5" i="1"/>
  <c r="G5" i="1" s="1"/>
  <c r="A4" i="1"/>
  <c r="G4" i="1" s="1"/>
  <c r="A10" i="1"/>
  <c r="G10" i="1" s="1"/>
  <c r="A9" i="1"/>
  <c r="G9" i="1" s="1"/>
  <c r="A7" i="1"/>
  <c r="G7" i="1" s="1"/>
</calcChain>
</file>

<file path=xl/sharedStrings.xml><?xml version="1.0" encoding="utf-8"?>
<sst xmlns="http://schemas.openxmlformats.org/spreadsheetml/2006/main" count="39" uniqueCount="13">
  <si>
    <t>MAX(</t>
  </si>
  <si>
    <t>)</t>
  </si>
  <si>
    <t>CASE WHEN bike_type = 'electric' THEN 'electric' END as electric</t>
  </si>
  <si>
    <t>CASE WHEN bike_type = 'electric' THEN numTrips END as elecNumTrips</t>
  </si>
  <si>
    <t>CASE WHEN bike_type = 'electric' THEN numBikes END as elecNumBikes</t>
  </si>
  <si>
    <t>CASE WHEN bike_type = 'electric' THEN avgTripsPerMonth END as elecAvgTripsPerDay</t>
  </si>
  <si>
    <t>CASE WHEN bike_type = 'electric' THEN stdSamp END as elecSTDsamp</t>
  </si>
  <si>
    <t>CASE WHEN bike_type = 'classic' THEN 'classic' END as classic</t>
  </si>
  <si>
    <t>CASE WHEN bike_type = 'classic' THEN numTrips END as classicNumTrips</t>
  </si>
  <si>
    <t>CASE WHEN bike_type = 'classic' THEN numBikes END as classicNumBikes</t>
  </si>
  <si>
    <t>CASE WHEN bike_type = 'classic' THEN avgTripsPerMonth END as classicAvgTripsPerDay</t>
  </si>
  <si>
    <t>CASE WHEN bike_type = 'classic' THEN stdSamp END as classicSTDsam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</si>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</sst>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D3E8-FF5C-7042-8717-230090E21DE4}">
  <dimension ref="A1:G10"/>
  <sheetViews>
    <sheetView tabSelected="1" workbookViewId="0">
      <selection activeCell="C23" sqref="C23"/>
    </sheetView>
  </sheetViews>
  <sheetFormatPr baseColWidth="10" defaultRowHeight="16" x14ac:dyDescent="0.2"/>
  <cols>
    <col min="1" max="1" width="54.5" bestFit="1" customWidth="1"/>
  </cols>
  <sheetData>
    <row r="1" spans="1:7" x14ac:dyDescent="0.2">
      <c r="A1" t="str">
        <f t="shared" ref="A1:A6" si="0">LEFT(B1,FIND("END",B1)+2)</f>
        <v>CASE WHEN bike_type = 'electric' THEN 'electric' END</v>
      </c>
      <c r="B1" t="s">
        <v>2</v>
      </c>
      <c r="C1" t="s">
        <v>0</v>
      </c>
      <c r="D1" t="s">
        <v>1</v>
      </c>
      <c r="E1" t="str">
        <f>RIGHT(B1,LEN(B1)-FIND("END",B1)-3)</f>
        <v>as electric</v>
      </c>
      <c r="F1" t="s">
        <v>12</v>
      </c>
      <c r="G1" t="str">
        <f>C1&amp;A1&amp;D1&amp;E1&amp;F1</f>
        <v>MAX(CASE WHEN bike_type = 'electric' THEN 'electric' END)as electric,</v>
      </c>
    </row>
    <row r="2" spans="1:7" x14ac:dyDescent="0.2">
      <c r="A2" t="str">
        <f t="shared" si="0"/>
        <v>CASE WHEN bike_type = 'electric' THEN numTrips END</v>
      </c>
      <c r="B2" t="s">
        <v>3</v>
      </c>
      <c r="C2" t="s">
        <v>0</v>
      </c>
      <c r="D2" t="s">
        <v>1</v>
      </c>
      <c r="E2" t="str">
        <f t="shared" ref="E2:E10" si="1">RIGHT(B2,LEN(B2)-FIND("END",B2)-3)</f>
        <v>as elecNumTrips</v>
      </c>
      <c r="F2" t="s">
        <v>12</v>
      </c>
      <c r="G2" t="str">
        <f t="shared" ref="G2:G10" si="2">C2&amp;A2&amp;D2&amp;E2&amp;F2</f>
        <v>MAX(CASE WHEN bike_type = 'electric' THEN numTrips END)as elecNumTrips,</v>
      </c>
    </row>
    <row r="3" spans="1:7" x14ac:dyDescent="0.2">
      <c r="A3" t="str">
        <f t="shared" si="0"/>
        <v>CASE WHEN bike_type = 'electric' THEN numBikes END</v>
      </c>
      <c r="B3" t="s">
        <v>4</v>
      </c>
      <c r="C3" t="s">
        <v>0</v>
      </c>
      <c r="D3" t="s">
        <v>1</v>
      </c>
      <c r="E3" t="str">
        <f t="shared" si="1"/>
        <v>as elecNumBikes</v>
      </c>
      <c r="F3" t="s">
        <v>12</v>
      </c>
      <c r="G3" t="str">
        <f t="shared" si="2"/>
        <v>MAX(CASE WHEN bike_type = 'electric' THEN numBikes END)as elecNumBikes,</v>
      </c>
    </row>
    <row r="4" spans="1:7" x14ac:dyDescent="0.2">
      <c r="A4" t="str">
        <f t="shared" si="0"/>
        <v>CASE WHEN bike_type = 'electric' THEN avgTripsPerMonth END</v>
      </c>
      <c r="B4" t="s">
        <v>5</v>
      </c>
      <c r="C4" t="s">
        <v>0</v>
      </c>
      <c r="D4" t="s">
        <v>1</v>
      </c>
      <c r="E4" t="str">
        <f t="shared" si="1"/>
        <v>as elecAvgTripsPerDay</v>
      </c>
      <c r="F4" t="s">
        <v>12</v>
      </c>
      <c r="G4" t="str">
        <f t="shared" si="2"/>
        <v>MAX(CASE WHEN bike_type = 'electric' THEN avgTripsPerMonth END)as elecAvgTripsPerDay,</v>
      </c>
    </row>
    <row r="5" spans="1:7" x14ac:dyDescent="0.2">
      <c r="A5" t="str">
        <f t="shared" si="0"/>
        <v>CASE WHEN bike_type = 'electric' THEN stdSamp END</v>
      </c>
      <c r="B5" t="s">
        <v>6</v>
      </c>
      <c r="C5" t="s">
        <v>0</v>
      </c>
      <c r="D5" t="s">
        <v>1</v>
      </c>
      <c r="E5" t="str">
        <f t="shared" si="1"/>
        <v>as elecSTDsamp</v>
      </c>
      <c r="F5" t="s">
        <v>12</v>
      </c>
      <c r="G5" t="str">
        <f t="shared" si="2"/>
        <v>MAX(CASE WHEN bike_type = 'electric' THEN stdSamp END)as elecSTDsamp,</v>
      </c>
    </row>
    <row r="6" spans="1:7" x14ac:dyDescent="0.2">
      <c r="A6" t="str">
        <f t="shared" si="0"/>
        <v>CASE WHEN bike_type = 'classic' THEN 'classic' END</v>
      </c>
      <c r="B6" t="s">
        <v>7</v>
      </c>
      <c r="C6" t="s">
        <v>0</v>
      </c>
      <c r="D6" t="s">
        <v>1</v>
      </c>
      <c r="E6" t="str">
        <f t="shared" si="1"/>
        <v>as classic</v>
      </c>
      <c r="F6" t="s">
        <v>12</v>
      </c>
      <c r="G6" t="str">
        <f t="shared" si="2"/>
        <v>MAX(CASE WHEN bike_type = 'classic' THEN 'classic' END)as classic,</v>
      </c>
    </row>
    <row r="7" spans="1:7" x14ac:dyDescent="0.2">
      <c r="A7" t="str">
        <f t="shared" ref="A7:A10" si="3">LEFT(B7,FIND("END",B7)+2)</f>
        <v>CASE WHEN bike_type = 'classic' THEN numTrips END</v>
      </c>
      <c r="B7" t="s">
        <v>8</v>
      </c>
      <c r="C7" t="s">
        <v>0</v>
      </c>
      <c r="D7" t="s">
        <v>1</v>
      </c>
      <c r="E7" t="str">
        <f t="shared" si="1"/>
        <v>as classicNumTrips</v>
      </c>
      <c r="F7" t="s">
        <v>12</v>
      </c>
      <c r="G7" t="str">
        <f t="shared" si="2"/>
        <v>MAX(CASE WHEN bike_type = 'classic' THEN numTrips END)as classicNumTrips,</v>
      </c>
    </row>
    <row r="8" spans="1:7" x14ac:dyDescent="0.2">
      <c r="A8" t="str">
        <f>LEFT(B8,FIND("END",B8)+2)</f>
        <v>CASE WHEN bike_type = 'classic' THEN numBikes END</v>
      </c>
      <c r="B8" t="s">
        <v>9</v>
      </c>
      <c r="C8" t="s">
        <v>0</v>
      </c>
      <c r="D8" t="s">
        <v>1</v>
      </c>
      <c r="E8" t="str">
        <f t="shared" si="1"/>
        <v>as classicNumBikes</v>
      </c>
      <c r="F8" t="s">
        <v>12</v>
      </c>
      <c r="G8" t="str">
        <f t="shared" si="2"/>
        <v>MAX(CASE WHEN bike_type = 'classic' THEN numBikes END)as classicNumBikes,</v>
      </c>
    </row>
    <row r="9" spans="1:7" x14ac:dyDescent="0.2">
      <c r="A9" t="str">
        <f t="shared" si="3"/>
        <v>CASE WHEN bike_type = 'classic' THEN avgTripsPerMonth END</v>
      </c>
      <c r="B9" t="s">
        <v>10</v>
      </c>
      <c r="C9" t="s">
        <v>0</v>
      </c>
      <c r="D9" t="s">
        <v>1</v>
      </c>
      <c r="E9" t="str">
        <f t="shared" si="1"/>
        <v>as classicAvgTripsPerDay</v>
      </c>
      <c r="F9" t="s">
        <v>12</v>
      </c>
      <c r="G9" t="str">
        <f t="shared" si="2"/>
        <v>MAX(CASE WHEN bike_type = 'classic' THEN avgTripsPerMonth END)as classicAvgTripsPerDay,</v>
      </c>
    </row>
    <row r="10" spans="1:7" x14ac:dyDescent="0.2">
      <c r="A10" t="str">
        <f t="shared" si="3"/>
        <v>CASE WHEN bike_type = 'classic' THEN stdSamp END</v>
      </c>
      <c r="B10" t="s">
        <v>11</v>
      </c>
      <c r="C10" t="s">
        <v>0</v>
      </c>
      <c r="D10" t="s">
        <v>1</v>
      </c>
      <c r="E10" t="str">
        <f t="shared" si="1"/>
        <v>as classicSTDsam</v>
      </c>
      <c r="G10" t="str">
        <f t="shared" si="2"/>
        <v>MAX(CASE WHEN bike_type = 'classic' THEN stdSamp END)as classicSTDsam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Gomez</dc:creator>
  <cp:lastModifiedBy>Noah Gomez</cp:lastModifiedBy>
  <dcterms:created xsi:type="dcterms:W3CDTF">2026-04-15T19:39:54Z</dcterms:created>
  <dcterms:modified xsi:type="dcterms:W3CDTF">2026-04-16T13:11:21Z</dcterms:modified>
</cp:coreProperties>
</file>